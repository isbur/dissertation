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main_generator\Rules\"/>
    </mc:Choice>
  </mc:AlternateContent>
  <bookViews>
    <workbookView xWindow="489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6" i="1" l="1"/>
  <c r="J35" i="1"/>
  <c r="J34" i="1"/>
  <c r="J33" i="1"/>
  <c r="J32" i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<sst xmlns="http://schemas.openxmlformats.org/spreadsheetml/2006/main" count="48" uniqueCount="47">
  <si>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</si>
  <si>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</si>
  <si>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</si>
  <si>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</si>
  <si>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</si>
  <si>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</si>
  <si>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</si>
  <si>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</si>
  <si>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</si>
  <si>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</si>
  <si>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</si>
  <si>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</si>
  <si>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</si>
  <si>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</si>
  <si>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</si>
  <si>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</si>
  <si>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</si>
  <si>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</si>
  <si>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</si>
  <si>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</si>
  <si>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</si>
  <si>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</si>
  <si>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</si>
  <si>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</si>
  <si>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</si>
  <si>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</si>
  <si>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</si>
  <si>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</si>
  <si>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</si>
  <si>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</si>
  <si>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</si>
  <si>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</si>
  <si>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</si>
  <si>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</si>
  <si>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</si>
  <si>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</si>
  <si>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https://www.anaga.ru/uzbeki.htm</t>
  </si>
  <si>
    <t>http://lurkmore.to/%D0%A3%D0%B7%D0%B1%D0%B5%D0%BA%D0%B8%D1%81%D1%82%D0%B0%D0%BD/%D0%9D%D0%B0%D1%80%D0%BE%D0%B4%D1%8B</t>
  </si>
  <si>
    <t>Об узбеках в целом</t>
  </si>
  <si>
    <t>f:</t>
  </si>
  <si>
    <t>http://www.fergananews.com/articles/4462 - вердикт, что даже если и есть, они а) неофициальные б) а если и претендуют на официоз, то очень маленькие</t>
  </si>
  <si>
    <t>Половина норм. распределения с центром в районе 34?</t>
  </si>
  <si>
    <t>https://www.ranepa.ru/images/insap/Florinskaya-Mkrtchyan-blok.pdf</t>
  </si>
  <si>
    <t>с.71</t>
  </si>
  <si>
    <t>Инфа в среднем по всем мигрантам, полагаю, узбеки ближе всех к этим данным</t>
  </si>
  <si>
    <t>15*( (1 + (-x+3) / 3)/2)</t>
  </si>
  <si>
    <t>2^( -(  (  (x-25) / 5 )^2) 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</si>
</sst>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/>
    <xf numFmtId="0" fontId="0" fillId="0" borderId="0" xfId="0" applyFill="1"/>
    <xf numFmtId="0" fontId="1" fillId="0" borderId="0" xfId="1" applyFill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fergananews.com/articles/4462%20-%20&#1074;&#1077;&#1088;&#1076;&#1080;&#1082;&#1090;,%20&#1095;&#1090;&#1086;%20&#1076;&#1072;&#1078;&#1077;%20&#1077;&#1089;&#1083;&#1080;%20&#1080;%20&#1077;&#1089;&#1090;&#1100;,%20&#1086;&#1085;&#1080;%20&#1072;)%20&#1085;&#1077;&#1086;&#1092;&#1080;&#1094;&#1080;&#1072;&#1083;&#1100;&#1085;&#1099;&#1077;%20&#1073;)%20&#1072;%20&#1077;&#1089;&#1083;&#1080;%20&#1080;%20&#1087;&#1088;&#1077;&#1090;&#1077;&#1085;&#1076;&#1091;&#1102;&#1090;%20&#1085;&#1072;%20&#1086;&#1092;&#1080;&#1094;&#1080;&#1086;&#1079;,%20&#1090;&#1086;%20&#1086;&#1095;&#1077;&#1085;&#1100;%20&#1084;&#1072;&#1083;&#1077;&#1085;&#1100;&#1082;&#1080;&#1077;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urkmore.to/%D0%A3%D0%B7%D0%B1%D0%B5%D0%BA%D0%B8%D1%81%D1%82%D0%B0%D0%BD/%D0%9D%D0%B0%D1%80%D0%BE%D0%B4%D1%8B" TargetMode="External"/><Relationship Id="rId1" Type="http://schemas.openxmlformats.org/officeDocument/2006/relationships/hyperlink" Target="https://www.anaga.ru/uzbeki.ht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ranepa.ru/images/insap/Florinskaya-Mkrtchyan-blok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>
      <selection activeCell="B35" sqref="B35"/>
    </sheetView>
  </sheetViews>
  <sheetFormatPr defaultRowHeight="15" x14ac:dyDescent="0.25"/>
  <cols>
    <col min="1" max="16384" width="9.140625" style="1"/>
  </cols>
  <sheetData>
    <row r="1" spans="1:20" x14ac:dyDescent="0.25">
      <c r="A1" s="1">
        <v>1</v>
      </c>
      <c r="B1" s="1">
        <v>0</v>
      </c>
      <c r="C1" s="1">
        <v>0</v>
      </c>
      <c r="J1" s="1">
        <f t="shared" ref="J1:J10" si="0">SUM(A1:H1)</f>
        <v>1</v>
      </c>
      <c r="K1" s="2" t="s">
        <v>36</v>
      </c>
      <c r="L1" s="2" t="s">
        <v>37</v>
      </c>
      <c r="M1" s="1" t="s">
        <v>38</v>
      </c>
      <c r="T1" s="1" t="s">
        <v>0</v>
      </c>
    </row>
    <row r="2" spans="1:20" x14ac:dyDescent="0.25">
      <c r="A2" s="1">
        <v>1</v>
      </c>
      <c r="B2" s="1">
        <v>0</v>
      </c>
      <c r="C2" s="1">
        <v>0</v>
      </c>
      <c r="J2" s="1">
        <f t="shared" si="0"/>
        <v>1</v>
      </c>
      <c r="T2" s="1" t="s">
        <v>1</v>
      </c>
    </row>
    <row r="3" spans="1:20" x14ac:dyDescent="0.25">
      <c r="A3" s="1">
        <v>43</v>
      </c>
      <c r="B3" s="1">
        <v>27</v>
      </c>
      <c r="C3" s="1" t="s">
        <v>39</v>
      </c>
      <c r="D3" s="1" t="s">
        <v>45</v>
      </c>
      <c r="E3" s="1">
        <v>2</v>
      </c>
      <c r="F3" s="1">
        <v>4</v>
      </c>
      <c r="J3" s="1">
        <f>SUM(C3:H3)</f>
        <v>6</v>
      </c>
      <c r="T3" s="1" t="s">
        <v>2</v>
      </c>
    </row>
    <row r="4" spans="1:20" x14ac:dyDescent="0.25">
      <c r="A4" s="1">
        <v>30</v>
      </c>
      <c r="B4" s="1">
        <v>5</v>
      </c>
      <c r="C4" s="1">
        <v>36</v>
      </c>
      <c r="D4" s="1">
        <v>16</v>
      </c>
      <c r="E4" s="1">
        <v>13</v>
      </c>
      <c r="J4" s="1">
        <f t="shared" si="0"/>
        <v>100</v>
      </c>
      <c r="T4" s="1" t="s">
        <v>3</v>
      </c>
    </row>
    <row r="5" spans="1:20" x14ac:dyDescent="0.25">
      <c r="A5" s="1">
        <v>1</v>
      </c>
      <c r="B5" s="1">
        <v>12</v>
      </c>
      <c r="C5" s="1">
        <v>20</v>
      </c>
      <c r="D5" s="1">
        <v>41</v>
      </c>
      <c r="E5" s="1">
        <v>26</v>
      </c>
      <c r="J5" s="1">
        <f t="shared" si="0"/>
        <v>100</v>
      </c>
      <c r="T5" s="1" t="s">
        <v>4</v>
      </c>
    </row>
    <row r="6" spans="1:20" x14ac:dyDescent="0.25">
      <c r="A6" s="1">
        <v>16</v>
      </c>
      <c r="B6" s="1">
        <v>27</v>
      </c>
      <c r="C6" s="1">
        <v>42</v>
      </c>
      <c r="D6" s="1">
        <v>15</v>
      </c>
      <c r="J6" s="1">
        <f t="shared" si="0"/>
        <v>100</v>
      </c>
      <c r="T6" s="1" t="s">
        <v>5</v>
      </c>
    </row>
    <row r="7" spans="1:20" x14ac:dyDescent="0.25">
      <c r="A7" s="1">
        <v>16</v>
      </c>
      <c r="B7" s="1">
        <v>28.5</v>
      </c>
      <c r="C7" s="1">
        <v>43.5</v>
      </c>
      <c r="D7" s="1">
        <v>12</v>
      </c>
      <c r="J7" s="1">
        <f t="shared" si="0"/>
        <v>100</v>
      </c>
      <c r="T7" s="1" t="s">
        <v>6</v>
      </c>
    </row>
    <row r="8" spans="1:20" x14ac:dyDescent="0.25">
      <c r="A8" s="1">
        <v>1.5</v>
      </c>
      <c r="B8" s="1">
        <v>39.5</v>
      </c>
      <c r="C8" s="1">
        <v>46</v>
      </c>
      <c r="D8" s="1">
        <v>12</v>
      </c>
      <c r="E8" s="1">
        <v>5.0000000000000001E-3</v>
      </c>
      <c r="J8" s="1">
        <f t="shared" si="0"/>
        <v>99.004999999999995</v>
      </c>
      <c r="T8" s="1" t="s">
        <v>7</v>
      </c>
    </row>
    <row r="9" spans="1:20" x14ac:dyDescent="0.25">
      <c r="A9" s="1">
        <v>3</v>
      </c>
      <c r="B9" s="1">
        <v>53</v>
      </c>
      <c r="C9" s="1">
        <v>32</v>
      </c>
      <c r="D9" s="1">
        <v>12</v>
      </c>
      <c r="J9" s="1">
        <f t="shared" si="0"/>
        <v>100</v>
      </c>
      <c r="T9" s="1" t="s">
        <v>8</v>
      </c>
    </row>
    <row r="10" spans="1:20" x14ac:dyDescent="0.25">
      <c r="A10" s="1">
        <v>52</v>
      </c>
      <c r="B10" s="1">
        <v>24</v>
      </c>
      <c r="C10" s="1">
        <v>23</v>
      </c>
      <c r="D10" s="1">
        <v>1</v>
      </c>
      <c r="E10" s="1">
        <v>0</v>
      </c>
      <c r="J10" s="1">
        <f t="shared" si="0"/>
        <v>100</v>
      </c>
      <c r="T10" s="1" t="s">
        <v>9</v>
      </c>
    </row>
    <row r="11" spans="1:20" x14ac:dyDescent="0.25">
      <c r="A11" s="1">
        <v>0.15</v>
      </c>
      <c r="B11" s="1">
        <v>0.85</v>
      </c>
      <c r="T11" s="1" t="s">
        <v>10</v>
      </c>
    </row>
    <row r="12" spans="1:20" x14ac:dyDescent="0.25">
      <c r="A12" s="1">
        <v>0.2</v>
      </c>
      <c r="B12" s="1">
        <v>0.8</v>
      </c>
      <c r="T12" s="1" t="s">
        <v>11</v>
      </c>
    </row>
    <row r="13" spans="1:20" x14ac:dyDescent="0.25">
      <c r="A13" s="1">
        <v>0.13</v>
      </c>
      <c r="B13" s="1">
        <v>0.87</v>
      </c>
      <c r="T13" s="1" t="s">
        <v>12</v>
      </c>
    </row>
    <row r="14" spans="1:20" x14ac:dyDescent="0.25">
      <c r="A14" s="1">
        <v>0.05</v>
      </c>
      <c r="B14" s="1">
        <v>0.95</v>
      </c>
      <c r="T14" s="1" t="s">
        <v>13</v>
      </c>
    </row>
    <row r="15" spans="1:20" x14ac:dyDescent="0.25">
      <c r="A15" s="1">
        <v>0.1</v>
      </c>
      <c r="B15" s="1">
        <v>0.9</v>
      </c>
      <c r="T15" s="1" t="s">
        <v>14</v>
      </c>
    </row>
    <row r="16" spans="1:20" x14ac:dyDescent="0.25">
      <c r="A16" s="1">
        <v>0.01</v>
      </c>
      <c r="B16" s="1">
        <v>0.99</v>
      </c>
      <c r="T16" s="1" t="s">
        <v>15</v>
      </c>
    </row>
    <row r="17" spans="1:20" x14ac:dyDescent="0.25">
      <c r="A17" s="1">
        <v>0.3</v>
      </c>
      <c r="B17" s="1">
        <v>0.7</v>
      </c>
      <c r="T17" s="1" t="s">
        <v>16</v>
      </c>
    </row>
    <row r="18" spans="1:20" x14ac:dyDescent="0.25">
      <c r="A18" s="1">
        <v>0.2</v>
      </c>
      <c r="B18" s="1">
        <v>0.8</v>
      </c>
      <c r="T18" s="1" t="s">
        <v>17</v>
      </c>
    </row>
    <row r="19" spans="1:20" x14ac:dyDescent="0.25">
      <c r="A19" s="1">
        <v>0.4</v>
      </c>
      <c r="B19" s="1">
        <v>0.6</v>
      </c>
      <c r="T19" s="1" t="s">
        <v>18</v>
      </c>
    </row>
    <row r="20" spans="1:20" x14ac:dyDescent="0.25">
      <c r="A20" s="1">
        <v>0.05</v>
      </c>
      <c r="B20" s="1">
        <v>0.95</v>
      </c>
      <c r="T20" s="1" t="s">
        <v>19</v>
      </c>
    </row>
    <row r="21" spans="1:20" x14ac:dyDescent="0.25">
      <c r="A21" s="1">
        <v>0.4</v>
      </c>
      <c r="B21" s="1">
        <v>0.6</v>
      </c>
      <c r="T21" s="1" t="s">
        <v>20</v>
      </c>
    </row>
    <row r="22" spans="1:20" x14ac:dyDescent="0.25">
      <c r="A22" s="1">
        <v>0.7</v>
      </c>
      <c r="B22" s="1">
        <v>0.3</v>
      </c>
      <c r="T22" s="1" t="s">
        <v>21</v>
      </c>
    </row>
    <row r="23" spans="1:20" x14ac:dyDescent="0.25">
      <c r="A23" s="1">
        <v>0.1</v>
      </c>
      <c r="B23" s="1">
        <v>0.9</v>
      </c>
      <c r="T23" s="1" t="s">
        <v>22</v>
      </c>
    </row>
    <row r="24" spans="1:20" x14ac:dyDescent="0.25">
      <c r="A24" s="1">
        <v>0.05</v>
      </c>
      <c r="B24" s="1">
        <v>0.95</v>
      </c>
      <c r="T24" s="1" t="s">
        <v>23</v>
      </c>
    </row>
    <row r="25" spans="1:20" x14ac:dyDescent="0.25">
      <c r="A25" s="1">
        <v>0.05</v>
      </c>
      <c r="B25" s="1">
        <v>0.95</v>
      </c>
      <c r="T25" s="1" t="s">
        <v>24</v>
      </c>
    </row>
    <row r="26" spans="1:20" x14ac:dyDescent="0.25">
      <c r="A26" s="1">
        <v>24</v>
      </c>
      <c r="B26" s="1">
        <v>76</v>
      </c>
      <c r="I26" s="1">
        <v>0.92</v>
      </c>
      <c r="J26" s="1">
        <f t="shared" ref="J26:J36" si="1">SUM(A26:H26)</f>
        <v>100</v>
      </c>
      <c r="K26" s="2" t="s">
        <v>40</v>
      </c>
      <c r="T26" s="1" t="s">
        <v>25</v>
      </c>
    </row>
    <row r="27" spans="1:20" x14ac:dyDescent="0.25">
      <c r="A27" s="1">
        <v>14</v>
      </c>
      <c r="B27" s="1">
        <v>86</v>
      </c>
      <c r="I27" s="1">
        <v>0.92</v>
      </c>
      <c r="J27" s="1">
        <f t="shared" si="1"/>
        <v>100</v>
      </c>
      <c r="T27" s="1" t="s">
        <v>26</v>
      </c>
    </row>
    <row r="28" spans="1:20" x14ac:dyDescent="0.25">
      <c r="A28" s="1">
        <v>78</v>
      </c>
      <c r="B28" s="1">
        <v>0</v>
      </c>
      <c r="C28" s="1">
        <v>0</v>
      </c>
      <c r="D28" s="1">
        <v>0</v>
      </c>
      <c r="E28" s="1">
        <v>1</v>
      </c>
      <c r="F28" s="1">
        <v>17</v>
      </c>
      <c r="G28" s="1">
        <v>4</v>
      </c>
      <c r="J28" s="1">
        <f t="shared" si="1"/>
        <v>100</v>
      </c>
      <c r="T28" s="1" t="s">
        <v>27</v>
      </c>
    </row>
    <row r="29" spans="1:20" x14ac:dyDescent="0.25">
      <c r="A29" s="1">
        <v>20</v>
      </c>
      <c r="B29" s="1">
        <v>1</v>
      </c>
      <c r="C29" s="1">
        <v>78</v>
      </c>
      <c r="D29" s="1">
        <v>0</v>
      </c>
      <c r="E29" s="1">
        <v>0</v>
      </c>
      <c r="F29" s="1">
        <v>1</v>
      </c>
      <c r="J29" s="1">
        <f t="shared" si="1"/>
        <v>100</v>
      </c>
      <c r="T29" s="1" t="s">
        <v>28</v>
      </c>
    </row>
    <row r="30" spans="1:20" x14ac:dyDescent="0.25">
      <c r="A30" s="1">
        <v>29</v>
      </c>
      <c r="B30" s="1">
        <v>1</v>
      </c>
      <c r="C30" s="1">
        <v>69.5</v>
      </c>
      <c r="D30" s="1">
        <v>0</v>
      </c>
      <c r="E30" s="1">
        <v>0</v>
      </c>
      <c r="F30" s="1">
        <v>0.5</v>
      </c>
      <c r="J30" s="1">
        <f t="shared" si="1"/>
        <v>100</v>
      </c>
      <c r="T30" s="1" t="s">
        <v>29</v>
      </c>
    </row>
    <row r="31" spans="1:20" x14ac:dyDescent="0.25">
      <c r="A31" s="1">
        <v>6</v>
      </c>
      <c r="B31" s="1">
        <v>94</v>
      </c>
      <c r="J31" s="1">
        <f t="shared" si="1"/>
        <v>100</v>
      </c>
      <c r="T31" s="1" t="s">
        <v>30</v>
      </c>
    </row>
    <row r="32" spans="1:20" x14ac:dyDescent="0.25">
      <c r="A32" s="1">
        <v>0</v>
      </c>
      <c r="B32" s="1">
        <v>1.2</v>
      </c>
      <c r="C32" s="1">
        <v>37</v>
      </c>
      <c r="D32" s="1">
        <v>23</v>
      </c>
      <c r="E32" s="1">
        <v>38.799999999999997</v>
      </c>
      <c r="J32" s="1">
        <f t="shared" si="1"/>
        <v>100</v>
      </c>
      <c r="T32" s="1" t="s">
        <v>31</v>
      </c>
    </row>
    <row r="33" spans="1:20" x14ac:dyDescent="0.25">
      <c r="A33" s="1">
        <v>2</v>
      </c>
      <c r="B33" s="1">
        <v>4</v>
      </c>
      <c r="C33" s="1">
        <v>40</v>
      </c>
      <c r="D33" s="1">
        <v>12</v>
      </c>
      <c r="E33" s="1">
        <v>42</v>
      </c>
      <c r="J33" s="1">
        <f t="shared" si="1"/>
        <v>100</v>
      </c>
      <c r="T33" s="1" t="s">
        <v>32</v>
      </c>
    </row>
    <row r="34" spans="1:20" x14ac:dyDescent="0.25">
      <c r="A34" s="1">
        <v>0</v>
      </c>
      <c r="B34" s="1">
        <v>0</v>
      </c>
      <c r="C34" s="1">
        <v>30</v>
      </c>
      <c r="D34" s="1">
        <v>60</v>
      </c>
      <c r="E34" s="1">
        <v>10</v>
      </c>
      <c r="J34" s="1">
        <f t="shared" si="1"/>
        <v>100</v>
      </c>
      <c r="T34" s="1" t="s">
        <v>33</v>
      </c>
    </row>
    <row r="35" spans="1:20" x14ac:dyDescent="0.25">
      <c r="A35" s="1" t="s">
        <v>39</v>
      </c>
      <c r="B35" s="1" t="s">
        <v>46</v>
      </c>
      <c r="C35" s="1">
        <v>18</v>
      </c>
      <c r="D35" s="1">
        <v>60</v>
      </c>
      <c r="J35" s="1">
        <f t="shared" si="1"/>
        <v>78</v>
      </c>
      <c r="K35" s="1" t="s">
        <v>41</v>
      </c>
      <c r="T35" s="1" t="s">
        <v>34</v>
      </c>
    </row>
    <row r="36" spans="1:20" x14ac:dyDescent="0.25">
      <c r="A36" s="1">
        <v>0</v>
      </c>
      <c r="B36" s="1">
        <v>72</v>
      </c>
      <c r="C36" s="1">
        <v>28</v>
      </c>
      <c r="D36" s="1">
        <v>0</v>
      </c>
      <c r="J36" s="1">
        <f t="shared" si="1"/>
        <v>100</v>
      </c>
      <c r="K36" s="2" t="s">
        <v>42</v>
      </c>
      <c r="L36" s="1" t="s">
        <v>43</v>
      </c>
      <c r="M36" s="1" t="s">
        <v>44</v>
      </c>
      <c r="T36" s="1" t="s">
        <v>35</v>
      </c>
    </row>
  </sheetData>
  <hyperlinks>
    <hyperlink ref="K1" r:id="rId1"/>
    <hyperlink ref="L1" r:id="rId2"/>
    <hyperlink ref="K26" r:id="rId3"/>
    <hyperlink ref="K36" r:id="rId4"/>
  </hyperlink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2018-11-05T16:38:59Z</dcterms:created>
  <dcterms:modified xsi:type="dcterms:W3CDTF">2019-01-04T04:36:55Z</dcterms:modified>
</cp:coreProperties>
</file>