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gor\Documents\GitHub\dissertation\Месиво\main_generator\Rules\"/>
    </mc:Choice>
  </mc:AlternateContent>
  <bookViews>
    <workbookView xWindow="4890" yWindow="15" windowWidth="16095" windowHeight="9660"/>
  </bookViews>
  <sheets>
    <sheet name="Sheet1" sheetId="1" r:id="rId1"/>
    <sheet name="Правила" sheetId="2" r:id="rId2"/>
  </sheets>
  <calcPr calcId="162913"/>
</workbook>
</file>

<file path=xl/calcChain.xml><?xml version="1.0" encoding="utf-8"?>
<calcChain xmlns="http://schemas.openxmlformats.org/spreadsheetml/2006/main">
  <c r="J11" i="1" l="1"/>
  <c r="J29" i="1" l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 l="1"/>
  <c r="J36" i="1"/>
  <c r="J35" i="1"/>
  <c r="J34" i="1"/>
  <c r="J33" i="1"/>
  <c r="J32" i="1"/>
  <c r="J31" i="1"/>
  <c r="J30" i="1"/>
  <c r="J12" i="1"/>
  <c r="J10" i="1"/>
  <c r="J9" i="1"/>
  <c r="J8" i="1"/>
  <c r="J7" i="1"/>
  <c r="J6" i="1"/>
  <c r="J5" i="1"/>
  <c r="J4" i="1"/>
  <c r="J3" i="1"/>
  <c r="J2" i="1"/>
  <c r="J1" i="1"/>
</calcChain>
</file>

<file path=xl/sharedStrings.xml><?xml version="1.0" encoding="utf-8"?>
<sst xmlns="http://schemas.openxmlformats.org/spreadsheetml/2006/main" count="76" uniqueCount="72">
  <si>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</si>
  <si>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</si>
  <si>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</si>
  <si>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</si>
  <si>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</si>
  <si>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</si>
  <si>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</si>
  <si>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</si>
  <si>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</si>
  <si>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</si>
  <si>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</si>
  <si>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</si>
  <si>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</si>
  <si>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</si>
  <si>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</si>
  <si>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</si>
  <si>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</si>
  <si>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</si>
  <si>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</si>
  <si>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</si>
  <si>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</si>
  <si>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</si>
  <si>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</si>
  <si>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</si>
  <si>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</si>
  <si>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</si>
  <si>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</si>
  <si>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</si>
  <si>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</si>
  <si>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</si>
  <si>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</si>
  <si>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</si>
  <si>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</si>
  <si>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</si>
  <si>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</si>
  <si>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</si>
  <si>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http://www.kavkazoved.info/news/2015/04/20/armjane-v-rossii-problemy-i-budni.html</t>
  </si>
  <si>
    <t>На основе анализа ежемесячных данных пассажиропотока Микаэлян отмечает, что увеличились и масштабы сезонной миграции из Армении в Россию, а также сроки нахождения сезонных мигрантов в РФ – если ранее это было в среднем до 60 000 человек в год и полгода, то после 2010 года количество увеличилось до 80 000 и 9 месяцев. «Во многих случаях  после нескольких лет сезонных работ, трудовой мигрант закрепляется в России и начинает предпринимать усилия по перевозке уже собственной семьи в Россию, а в сезонную миграцию вовлекаются уже новые люди. Как правило, период предварительной адаптации занимает около 5 лет», – добавил он. </t>
  </si>
  <si>
    <t>http://www.carim-east.eu/media/CARIM-East-RR-2013-07_RU.pdf</t>
  </si>
  <si>
    <t>Очень много интересных данных. А я ещё не хотелось бы светиться с этой диссертацией перед специалистами...</t>
  </si>
  <si>
    <t>http://www.yerkramas.org/article/18066/chem-zanimayutsya-armyane-za-predelami-armenii</t>
  </si>
  <si>
    <t>f:</t>
  </si>
  <si>
    <t>https://www.currenttime.tv/a/28300118.html</t>
  </si>
  <si>
    <t>То есть много сезонных</t>
  </si>
  <si>
    <t>"Преобладают чернорабочие"</t>
  </si>
  <si>
    <t>А ля 36 - ВО, 56 - среднее, ост - специальное?</t>
  </si>
  <si>
    <t>А ещё есть специфика Москвы!</t>
  </si>
  <si>
    <t>http://noev-kovcheg.ru/mag/2006-14/365.html</t>
  </si>
  <si>
    <t>+соображение, что, кажется, ситуация особо не поменялась с тех пор</t>
  </si>
  <si>
    <t>см. таблицу 18</t>
  </si>
  <si>
    <t>https://inosmi.ru/politic/20151207/234707770.html - мнение: фактически диаспоры никакой особо нет, есть только отдельные богатенькие личности, играющие в эту диаспору.</t>
  </si>
  <si>
    <t>http://www.demoscope.ru/weekly/2011/0467/analit04.php</t>
  </si>
  <si>
    <t>КРУТЬ-исследование. В т.ч. Про жильё</t>
  </si>
  <si>
    <t xml:space="preserve">http://www.demoscope.ru/weekly/2011/0467/analit04.php </t>
  </si>
  <si>
    <t>и ещё 0,33 - в собственных квартирах, но это уже граждане</t>
  </si>
  <si>
    <t xml:space="preserve"> C и E - символический добавок от Бульки для успокоения совести</t>
  </si>
  <si>
    <t>Как я понимаю, капитальных проблем из разряда "вовсе негде жить" не возникает обычно. В исследовании сказано, что 7% недовольны жилищными условиями - вот они могли бы отметить что-то про "проблемы" (всем бы их проблемы!)</t>
  </si>
  <si>
    <t>Те, кто чаще всего обращается к знакомым, должны обращаться к ним чаще всего по любому поводу</t>
  </si>
  <si>
    <t>Ситуация чем-то похожа на 14 вопрос. Агенства занятости считаем государственными, ыыы.... А их, между прочим, до 10%. 37% справлялись как-то сами (у нас это будут газеты и интернет)</t>
  </si>
  <si>
    <t xml:space="preserve">https://rg.ru/2018/02/13/opros-kak-rossiiane-chashche-ishchut-rabotu.html </t>
  </si>
  <si>
    <t>Это данные по россиянам. 29 % пользуются сайтами, газеты - 12 %. Учтём, что мигранты обычно молодые... И тогда пусть будут те же 29 и, скажем, 7</t>
  </si>
  <si>
    <t xml:space="preserve">Исследование по взяткам среди россиян. </t>
  </si>
  <si>
    <t xml:space="preserve">https://www.rbc.ru/newspaper/2016/03/25/56f271cd9a7947f9c25d740b </t>
  </si>
  <si>
    <t>Всё-таки 0,2 - это речь идёт о взяткодавателях. Мало кто назовёт "проблемой" взятку, инициированную со своей стороны, как мне кажется, а вот про вымогательство пожаловаться - всегда пожалуйста. Но процент вымогательств... Самому считать, что ли? Как?</t>
  </si>
  <si>
    <t>При этом проблемы возникли именно с определением уровня недовольства среди россиян, с тем, что этот уровень будет римерно раавен уровню среди мигрантов, сомнений нет</t>
  </si>
  <si>
    <t xml:space="preserve">https://iz.ru/716072/nataliia-berishvili/rossiiane-otcenili-uroven-korruptcii-v-uchrezhdeniiakh-strany </t>
  </si>
  <si>
    <t xml:space="preserve">https://regnum.ru/news/1349508.html </t>
  </si>
  <si>
    <t xml:space="preserve">http://crimestat.ru/offenses_chart </t>
  </si>
  <si>
    <t xml:space="preserve">https://www.occrp.org/ru/daily/7444-2018-01-04-07-32-10 </t>
  </si>
  <si>
    <t>Всё-таки, есть мнение, что трудовые мигранты более добропорядочные и им более стрёмно, поэтому следует, всё же, понизить этот процент. А вообще... Зинака!</t>
  </si>
  <si>
    <t>2+(sin(x))/1.5</t>
  </si>
  <si>
    <t>10*( (1/x) / 0.5 )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</si>
</sst>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5">
    <xf numFmtId="0" fontId="0" fillId="0" borderId="0" xfId="0"/>
    <xf numFmtId="0" fontId="1" fillId="0" borderId="0" xfId="1" applyAlignment="1" applyProtection="1"/>
    <xf numFmtId="0" fontId="0" fillId="0" borderId="0" xfId="0" applyAlignment="1">
      <alignment horizontal="left" vertical="center" wrapText="1"/>
    </xf>
    <xf numFmtId="0" fontId="0" fillId="2" borderId="0" xfId="0" applyFill="1"/>
    <xf numFmtId="0" fontId="1" fillId="2" borderId="0" xfId="1" applyFill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17</xdr:col>
          <xdr:colOff>76200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Мне повезёт!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22</xdr:col>
      <xdr:colOff>0</xdr:colOff>
      <xdr:row>25</xdr:row>
      <xdr:rowOff>0</xdr:rowOff>
    </xdr:from>
    <xdr:to>
      <xdr:col>31</xdr:col>
      <xdr:colOff>208838</xdr:colOff>
      <xdr:row>43</xdr:row>
      <xdr:rowOff>190048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11200" y="4762500"/>
          <a:ext cx="5695238" cy="36190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emoscope.ru/weekly/2011/0467/analit04.php" TargetMode="External"/><Relationship Id="rId13" Type="http://schemas.openxmlformats.org/officeDocument/2006/relationships/hyperlink" Target="https://iz.ru/716072/nataliia-berishvili/rossiiane-otcenili-uroven-korruptcii-v-uchrezhdeniiakh-strany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http://www.yerkramas.org/article/18066/chem-zanimayutsya-armyane-za-predelami-armenii" TargetMode="External"/><Relationship Id="rId7" Type="http://schemas.openxmlformats.org/officeDocument/2006/relationships/hyperlink" Target="https://inosmi.ru/politic/20151207/234707770.html%20-%20&#1084;&#1085;&#1077;&#1085;&#1080;&#1077;:%20&#1092;&#1072;&#1082;&#1090;&#1080;&#1095;&#1077;&#1089;&#1082;&#1080;%20&#1076;&#1080;&#1072;&#1089;&#1087;&#1086;&#1088;&#1099;%20&#1085;&#1080;&#1082;&#1072;&#1082;&#1086;&#1081;%20&#1086;&#1089;&#1086;&#1073;&#1086;%20&#1085;&#1077;&#1090;,%20&#1077;&#1089;&#1090;&#1100;%20&#1090;&#1086;&#1083;&#1100;&#1082;&#1086;%20&#1086;&#1090;&#1076;&#1077;&#1083;&#1100;&#1085;&#1099;&#1077;%20&#1073;&#1086;&#1075;&#1072;&#1090;&#1077;&#1085;&#1100;&#1082;&#1080;&#1077;%20&#1083;&#1080;&#1095;&#1085;&#1086;&#1089;&#1090;&#1080;,%20&#1080;&#1075;&#1088;&#1072;&#1102;&#1097;&#1080;&#1077;%20&#1074;%20&#1101;&#1090;&#1091;%20&#1076;&#1080;&#1072;&#1089;&#1087;&#1086;&#1088;&#1091;." TargetMode="External"/><Relationship Id="rId12" Type="http://schemas.openxmlformats.org/officeDocument/2006/relationships/hyperlink" Target="https://www.rbc.ru/newspaper/2016/03/25/56f271cd9a7947f9c25d740b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http://www.carim-east.eu/media/CARIM-East-RR-2013-07_RU.pdf" TargetMode="External"/><Relationship Id="rId16" Type="http://schemas.openxmlformats.org/officeDocument/2006/relationships/hyperlink" Target="https://www.occrp.org/ru/daily/7444-2018-01-04-07-32-10" TargetMode="External"/><Relationship Id="rId20" Type="http://schemas.openxmlformats.org/officeDocument/2006/relationships/ctrlProp" Target="../ctrlProps/ctrlProp1.xml"/><Relationship Id="rId1" Type="http://schemas.openxmlformats.org/officeDocument/2006/relationships/hyperlink" Target="http://www.kavkazoved.info/news/2015/04/20/armjane-v-rossii-problemy-i-budni.html" TargetMode="External"/><Relationship Id="rId6" Type="http://schemas.openxmlformats.org/officeDocument/2006/relationships/hyperlink" Target="http://noev-kovcheg.ru/mag/2006-14/365.html" TargetMode="External"/><Relationship Id="rId11" Type="http://schemas.openxmlformats.org/officeDocument/2006/relationships/hyperlink" Target="https://rg.ru/2018/02/13/opros-kak-rossiiane-chashche-ishchut-rabotu.html" TargetMode="External"/><Relationship Id="rId5" Type="http://schemas.openxmlformats.org/officeDocument/2006/relationships/hyperlink" Target="http://noev-kovcheg.ru/mag/2006-14/365.html" TargetMode="External"/><Relationship Id="rId15" Type="http://schemas.openxmlformats.org/officeDocument/2006/relationships/hyperlink" Target="http://crimestat.ru/offenses_chart" TargetMode="External"/><Relationship Id="rId10" Type="http://schemas.openxmlformats.org/officeDocument/2006/relationships/hyperlink" Target="http://www.demoscope.ru/weekly/2011/0467/analit04.php" TargetMode="External"/><Relationship Id="rId19" Type="http://schemas.openxmlformats.org/officeDocument/2006/relationships/vmlDrawing" Target="../drawings/vmlDrawing1.vml"/><Relationship Id="rId4" Type="http://schemas.openxmlformats.org/officeDocument/2006/relationships/hyperlink" Target="https://www.currenttime.tv/a/28300118.html" TargetMode="External"/><Relationship Id="rId9" Type="http://schemas.openxmlformats.org/officeDocument/2006/relationships/hyperlink" Target="http://www.demoscope.ru/weekly/2011/0467/analit04.php" TargetMode="External"/><Relationship Id="rId14" Type="http://schemas.openxmlformats.org/officeDocument/2006/relationships/hyperlink" Target="https://regnum.ru/news/1349508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6"/>
  <sheetViews>
    <sheetView tabSelected="1" workbookViewId="0">
      <selection activeCell="A30" sqref="A30:XFD30"/>
    </sheetView>
  </sheetViews>
  <sheetFormatPr defaultRowHeight="15" x14ac:dyDescent="0.25"/>
  <cols>
    <col min="4" max="4" width="13.28515625" customWidth="1"/>
  </cols>
  <sheetData>
    <row r="1" spans="1:20" x14ac:dyDescent="0.25">
      <c r="A1">
        <v>0</v>
      </c>
      <c r="B1">
        <v>1</v>
      </c>
      <c r="C1">
        <v>0</v>
      </c>
      <c r="J1">
        <f t="shared" ref="J1:J27" si="0">SUM(A1:H1)</f>
        <v>1</v>
      </c>
      <c r="K1" s="1" t="s">
        <v>36</v>
      </c>
      <c r="L1" t="s">
        <v>37</v>
      </c>
      <c r="T1" t="s">
        <v>0</v>
      </c>
    </row>
    <row r="2" spans="1:20" x14ac:dyDescent="0.25">
      <c r="A2">
        <v>0</v>
      </c>
      <c r="B2">
        <v>1</v>
      </c>
      <c r="C2">
        <v>0</v>
      </c>
      <c r="J2">
        <f t="shared" si="0"/>
        <v>1</v>
      </c>
      <c r="K2" s="1" t="s">
        <v>38</v>
      </c>
      <c r="L2" t="s">
        <v>39</v>
      </c>
      <c r="M2" s="1" t="s">
        <v>40</v>
      </c>
      <c r="T2" t="s">
        <v>1</v>
      </c>
    </row>
    <row r="3" spans="1:20" x14ac:dyDescent="0.25">
      <c r="A3">
        <v>1.3</v>
      </c>
      <c r="B3">
        <v>41.6</v>
      </c>
      <c r="C3" t="s">
        <v>41</v>
      </c>
      <c r="D3" t="s">
        <v>71</v>
      </c>
      <c r="E3">
        <v>2</v>
      </c>
      <c r="F3">
        <v>10</v>
      </c>
      <c r="J3">
        <f t="shared" si="0"/>
        <v>54.9</v>
      </c>
      <c r="K3" s="1" t="s">
        <v>42</v>
      </c>
      <c r="L3" t="s">
        <v>43</v>
      </c>
      <c r="M3" t="s">
        <v>44</v>
      </c>
      <c r="N3" t="s">
        <v>45</v>
      </c>
      <c r="O3" t="s">
        <v>46</v>
      </c>
      <c r="T3" t="s">
        <v>2</v>
      </c>
    </row>
    <row r="4" spans="1:20" x14ac:dyDescent="0.25">
      <c r="A4">
        <v>52</v>
      </c>
      <c r="B4">
        <v>9</v>
      </c>
      <c r="C4">
        <v>4</v>
      </c>
      <c r="D4">
        <v>27</v>
      </c>
      <c r="E4">
        <v>0</v>
      </c>
      <c r="I4">
        <v>0.95</v>
      </c>
      <c r="J4">
        <f t="shared" si="0"/>
        <v>92</v>
      </c>
      <c r="K4" s="1" t="s">
        <v>53</v>
      </c>
      <c r="L4" t="s">
        <v>54</v>
      </c>
      <c r="M4" t="s">
        <v>55</v>
      </c>
      <c r="T4" t="s">
        <v>3</v>
      </c>
    </row>
    <row r="5" spans="1:20" s="3" customFormat="1" x14ac:dyDescent="0.25">
      <c r="A5" s="3">
        <v>14</v>
      </c>
      <c r="B5" s="3">
        <v>29</v>
      </c>
      <c r="C5" s="3">
        <v>27</v>
      </c>
      <c r="D5" s="3">
        <v>0</v>
      </c>
      <c r="E5" s="3">
        <v>30</v>
      </c>
      <c r="J5" s="3">
        <f t="shared" si="0"/>
        <v>100</v>
      </c>
      <c r="T5" s="3" t="s">
        <v>4</v>
      </c>
    </row>
    <row r="6" spans="1:20" s="3" customFormat="1" x14ac:dyDescent="0.25">
      <c r="A6" s="3">
        <v>0</v>
      </c>
      <c r="B6" s="3">
        <v>0</v>
      </c>
      <c r="C6" s="3">
        <v>11</v>
      </c>
      <c r="D6" s="3">
        <v>89</v>
      </c>
      <c r="J6" s="3">
        <f t="shared" si="0"/>
        <v>100</v>
      </c>
      <c r="T6" s="3" t="s">
        <v>5</v>
      </c>
    </row>
    <row r="7" spans="1:20" s="3" customFormat="1" x14ac:dyDescent="0.25">
      <c r="A7" s="3">
        <v>9</v>
      </c>
      <c r="B7" s="3">
        <v>0</v>
      </c>
      <c r="C7" s="3">
        <v>19</v>
      </c>
      <c r="D7" s="3">
        <v>72</v>
      </c>
      <c r="J7" s="3">
        <f t="shared" si="0"/>
        <v>100</v>
      </c>
      <c r="T7" s="3" t="s">
        <v>6</v>
      </c>
    </row>
    <row r="8" spans="1:20" s="3" customFormat="1" x14ac:dyDescent="0.25">
      <c r="A8" s="3">
        <v>0</v>
      </c>
      <c r="B8" s="3">
        <v>10</v>
      </c>
      <c r="C8" s="3">
        <v>0</v>
      </c>
      <c r="D8" s="3">
        <v>21</v>
      </c>
      <c r="E8" s="3">
        <v>69</v>
      </c>
      <c r="J8" s="3">
        <f t="shared" si="0"/>
        <v>100</v>
      </c>
      <c r="T8" s="3" t="s">
        <v>7</v>
      </c>
    </row>
    <row r="9" spans="1:20" s="3" customFormat="1" x14ac:dyDescent="0.25">
      <c r="A9" s="3">
        <v>12</v>
      </c>
      <c r="B9" s="3">
        <v>68</v>
      </c>
      <c r="C9" s="3">
        <v>20</v>
      </c>
      <c r="D9" s="3">
        <v>0</v>
      </c>
      <c r="J9" s="3">
        <f t="shared" si="0"/>
        <v>100</v>
      </c>
      <c r="T9" s="3" t="s">
        <v>8</v>
      </c>
    </row>
    <row r="10" spans="1:20" s="3" customFormat="1" x14ac:dyDescent="0.25">
      <c r="A10" s="3">
        <v>0.11</v>
      </c>
      <c r="B10" s="3">
        <v>0.19500000000000001</v>
      </c>
      <c r="C10" s="3">
        <v>0.42</v>
      </c>
      <c r="D10" s="3">
        <v>0.105</v>
      </c>
      <c r="E10" s="3">
        <v>5.0999999999999997E-2</v>
      </c>
      <c r="J10" s="3">
        <f t="shared" si="0"/>
        <v>0.88100000000000001</v>
      </c>
      <c r="T10" s="3" t="s">
        <v>9</v>
      </c>
    </row>
    <row r="11" spans="1:20" s="3" customFormat="1" x14ac:dyDescent="0.25">
      <c r="A11" s="3">
        <v>0</v>
      </c>
      <c r="B11" s="3">
        <v>1</v>
      </c>
      <c r="J11" s="3">
        <f t="shared" si="0"/>
        <v>1</v>
      </c>
      <c r="T11" s="3" t="s">
        <v>10</v>
      </c>
    </row>
    <row r="12" spans="1:20" s="3" customFormat="1" x14ac:dyDescent="0.25">
      <c r="A12" s="3">
        <v>0.05</v>
      </c>
      <c r="B12" s="3">
        <v>0.95</v>
      </c>
      <c r="I12" s="3">
        <v>0.8</v>
      </c>
      <c r="J12" s="3">
        <f t="shared" si="0"/>
        <v>1</v>
      </c>
      <c r="K12" s="4" t="s">
        <v>62</v>
      </c>
      <c r="L12" s="3" t="s">
        <v>61</v>
      </c>
      <c r="M12" s="3" t="s">
        <v>63</v>
      </c>
      <c r="N12" s="3" t="s">
        <v>64</v>
      </c>
      <c r="O12" s="4" t="s">
        <v>65</v>
      </c>
      <c r="P12" s="4" t="s">
        <v>66</v>
      </c>
      <c r="Q12" s="4" t="s">
        <v>67</v>
      </c>
      <c r="R12" s="4" t="s">
        <v>68</v>
      </c>
      <c r="S12" s="3" t="s">
        <v>69</v>
      </c>
      <c r="T12" s="3" t="s">
        <v>11</v>
      </c>
    </row>
    <row r="13" spans="1:20" s="3" customFormat="1" x14ac:dyDescent="0.25">
      <c r="A13" s="3">
        <v>0</v>
      </c>
      <c r="B13" s="3">
        <v>1</v>
      </c>
      <c r="J13" s="3">
        <f t="shared" si="0"/>
        <v>1</v>
      </c>
      <c r="T13" s="3" t="s">
        <v>12</v>
      </c>
    </row>
    <row r="14" spans="1:20" s="3" customFormat="1" x14ac:dyDescent="0.25">
      <c r="A14" s="3">
        <v>0</v>
      </c>
      <c r="B14" s="3">
        <v>1</v>
      </c>
      <c r="J14" s="3">
        <f t="shared" si="0"/>
        <v>1</v>
      </c>
      <c r="T14" s="3" t="s">
        <v>13</v>
      </c>
    </row>
    <row r="15" spans="1:20" s="3" customFormat="1" x14ac:dyDescent="0.25">
      <c r="A15" s="3">
        <v>0</v>
      </c>
      <c r="B15" s="3">
        <v>1</v>
      </c>
      <c r="J15" s="3">
        <f t="shared" si="0"/>
        <v>1</v>
      </c>
      <c r="T15" s="3" t="s">
        <v>14</v>
      </c>
    </row>
    <row r="16" spans="1:20" s="3" customFormat="1" x14ac:dyDescent="0.25">
      <c r="A16" s="3">
        <v>0</v>
      </c>
      <c r="B16" s="3">
        <v>1</v>
      </c>
      <c r="J16" s="3">
        <f t="shared" si="0"/>
        <v>1</v>
      </c>
      <c r="T16" s="3" t="s">
        <v>15</v>
      </c>
    </row>
    <row r="17" spans="1:20" s="3" customFormat="1" x14ac:dyDescent="0.25">
      <c r="A17" s="3">
        <v>0</v>
      </c>
      <c r="B17" s="3">
        <v>1</v>
      </c>
      <c r="J17" s="3">
        <f t="shared" si="0"/>
        <v>1</v>
      </c>
      <c r="T17" s="3" t="s">
        <v>16</v>
      </c>
    </row>
    <row r="18" spans="1:20" s="3" customFormat="1" x14ac:dyDescent="0.25">
      <c r="A18" s="3">
        <v>0</v>
      </c>
      <c r="B18" s="3">
        <v>1</v>
      </c>
      <c r="J18" s="3">
        <f t="shared" si="0"/>
        <v>1</v>
      </c>
      <c r="T18" s="3" t="s">
        <v>17</v>
      </c>
    </row>
    <row r="19" spans="1:20" s="3" customFormat="1" x14ac:dyDescent="0.25">
      <c r="A19" s="3">
        <v>0</v>
      </c>
      <c r="B19" s="3">
        <v>1</v>
      </c>
      <c r="J19" s="3">
        <f t="shared" si="0"/>
        <v>1</v>
      </c>
      <c r="T19" s="3" t="s">
        <v>18</v>
      </c>
    </row>
    <row r="20" spans="1:20" s="3" customFormat="1" x14ac:dyDescent="0.25">
      <c r="A20" s="3">
        <v>0.01</v>
      </c>
      <c r="B20" s="3">
        <v>0.99</v>
      </c>
      <c r="I20" s="3">
        <v>0.95</v>
      </c>
      <c r="J20" s="3">
        <f t="shared" si="0"/>
        <v>1</v>
      </c>
      <c r="K20" s="4" t="s">
        <v>51</v>
      </c>
      <c r="L20" s="3" t="s">
        <v>52</v>
      </c>
      <c r="M20" s="3" t="s">
        <v>56</v>
      </c>
      <c r="T20" s="3" t="s">
        <v>19</v>
      </c>
    </row>
    <row r="21" spans="1:20" s="3" customFormat="1" x14ac:dyDescent="0.25">
      <c r="A21" s="3">
        <v>0</v>
      </c>
      <c r="B21" s="3">
        <v>1</v>
      </c>
      <c r="J21" s="3">
        <f t="shared" si="0"/>
        <v>1</v>
      </c>
      <c r="T21" s="3" t="s">
        <v>20</v>
      </c>
    </row>
    <row r="22" spans="1:20" s="3" customFormat="1" x14ac:dyDescent="0.25">
      <c r="A22" s="3">
        <v>0</v>
      </c>
      <c r="B22" s="3">
        <v>1</v>
      </c>
      <c r="J22" s="3">
        <f t="shared" si="0"/>
        <v>1</v>
      </c>
      <c r="T22" s="3" t="s">
        <v>21</v>
      </c>
    </row>
    <row r="23" spans="1:20" s="3" customFormat="1" x14ac:dyDescent="0.25">
      <c r="A23" s="3">
        <v>0</v>
      </c>
      <c r="B23" s="3">
        <v>1</v>
      </c>
      <c r="J23" s="3">
        <f t="shared" si="0"/>
        <v>1</v>
      </c>
      <c r="T23" s="3" t="s">
        <v>22</v>
      </c>
    </row>
    <row r="24" spans="1:20" s="3" customFormat="1" x14ac:dyDescent="0.25">
      <c r="A24" s="3">
        <v>0</v>
      </c>
      <c r="B24" s="3">
        <v>1</v>
      </c>
      <c r="J24" s="3">
        <f t="shared" si="0"/>
        <v>1</v>
      </c>
      <c r="T24" s="3" t="s">
        <v>23</v>
      </c>
    </row>
    <row r="25" spans="1:20" s="3" customFormat="1" x14ac:dyDescent="0.25">
      <c r="A25" s="3">
        <v>0</v>
      </c>
      <c r="B25" s="3">
        <v>1</v>
      </c>
      <c r="J25" s="3">
        <f t="shared" si="0"/>
        <v>1</v>
      </c>
      <c r="T25" s="3" t="s">
        <v>24</v>
      </c>
    </row>
    <row r="26" spans="1:20" s="3" customFormat="1" x14ac:dyDescent="0.25">
      <c r="A26" s="3">
        <v>0.79</v>
      </c>
      <c r="B26" s="3">
        <v>0.21</v>
      </c>
      <c r="I26" s="3">
        <v>0.8</v>
      </c>
      <c r="J26" s="3">
        <f t="shared" si="0"/>
        <v>1</v>
      </c>
      <c r="K26" s="2" t="s">
        <v>49</v>
      </c>
      <c r="L26" s="4" t="s">
        <v>50</v>
      </c>
      <c r="T26" s="3" t="s">
        <v>25</v>
      </c>
    </row>
    <row r="27" spans="1:20" s="3" customFormat="1" x14ac:dyDescent="0.25">
      <c r="A27" s="3">
        <v>12</v>
      </c>
      <c r="B27" s="3">
        <v>88</v>
      </c>
      <c r="I27" s="3">
        <v>0.8</v>
      </c>
      <c r="J27" s="3">
        <f t="shared" si="0"/>
        <v>100</v>
      </c>
      <c r="K27" s="2"/>
      <c r="T27" s="3" t="s">
        <v>26</v>
      </c>
    </row>
    <row r="28" spans="1:20" s="3" customFormat="1" x14ac:dyDescent="0.25">
      <c r="A28" s="3">
        <v>52</v>
      </c>
      <c r="B28" s="3">
        <v>4</v>
      </c>
      <c r="C28" s="3">
        <v>3</v>
      </c>
      <c r="D28" s="3">
        <v>4</v>
      </c>
      <c r="E28" s="3">
        <v>12</v>
      </c>
      <c r="F28" s="3">
        <v>5</v>
      </c>
      <c r="G28" s="3">
        <v>1</v>
      </c>
      <c r="I28" s="3">
        <v>0.99</v>
      </c>
      <c r="J28" s="3">
        <f>SUM(A28:I28)</f>
        <v>81.99</v>
      </c>
      <c r="K28" s="2"/>
      <c r="L28" s="3" t="s">
        <v>51</v>
      </c>
      <c r="T28" s="3" t="s">
        <v>27</v>
      </c>
    </row>
    <row r="29" spans="1:20" s="3" customFormat="1" x14ac:dyDescent="0.25">
      <c r="A29" s="3">
        <v>39</v>
      </c>
      <c r="B29" s="3">
        <v>1</v>
      </c>
      <c r="C29" s="3">
        <v>51</v>
      </c>
      <c r="D29" s="3">
        <v>7</v>
      </c>
      <c r="E29" s="3">
        <v>0</v>
      </c>
      <c r="F29" s="3">
        <v>0.5</v>
      </c>
      <c r="I29" s="3">
        <v>0.96</v>
      </c>
      <c r="J29" s="3">
        <f>SUM(A29:I29)</f>
        <v>99.46</v>
      </c>
      <c r="K29" s="4" t="s">
        <v>53</v>
      </c>
      <c r="L29" s="3" t="s">
        <v>58</v>
      </c>
      <c r="M29" s="4" t="s">
        <v>59</v>
      </c>
      <c r="N29" s="3" t="s">
        <v>60</v>
      </c>
      <c r="T29" s="3" t="s">
        <v>28</v>
      </c>
    </row>
    <row r="30" spans="1:20" s="3" customFormat="1" x14ac:dyDescent="0.25">
      <c r="A30" s="3">
        <v>37</v>
      </c>
      <c r="B30" s="3">
        <v>1</v>
      </c>
      <c r="C30" s="3">
        <v>52</v>
      </c>
      <c r="D30" s="3">
        <v>7</v>
      </c>
      <c r="E30" s="3">
        <v>0</v>
      </c>
      <c r="F30" s="3">
        <v>0.5</v>
      </c>
      <c r="J30" s="3">
        <f t="shared" ref="J30:J36" si="1">SUM(A30:H30)</f>
        <v>97.5</v>
      </c>
      <c r="T30" s="3" t="s">
        <v>29</v>
      </c>
    </row>
    <row r="31" spans="1:20" s="3" customFormat="1" x14ac:dyDescent="0.25">
      <c r="A31" s="3">
        <v>32</v>
      </c>
      <c r="B31" s="3">
        <v>67</v>
      </c>
      <c r="J31" s="3">
        <f t="shared" si="1"/>
        <v>99</v>
      </c>
      <c r="T31" s="3" t="s">
        <v>30</v>
      </c>
    </row>
    <row r="32" spans="1:20" s="3" customFormat="1" x14ac:dyDescent="0.25">
      <c r="A32" s="3">
        <v>0</v>
      </c>
      <c r="B32" s="3">
        <v>6</v>
      </c>
      <c r="C32" s="3">
        <v>28</v>
      </c>
      <c r="D32" s="3">
        <v>4</v>
      </c>
      <c r="E32" s="3">
        <v>62</v>
      </c>
      <c r="J32" s="3">
        <f t="shared" si="1"/>
        <v>100</v>
      </c>
      <c r="T32" s="3" t="s">
        <v>31</v>
      </c>
    </row>
    <row r="33" spans="1:20" s="3" customFormat="1" x14ac:dyDescent="0.25">
      <c r="A33" s="3">
        <v>0</v>
      </c>
      <c r="B33" s="3">
        <v>7</v>
      </c>
      <c r="C33" s="3">
        <v>28</v>
      </c>
      <c r="D33" s="3">
        <v>3</v>
      </c>
      <c r="E33" s="3">
        <v>61</v>
      </c>
      <c r="J33" s="3">
        <f t="shared" si="1"/>
        <v>99</v>
      </c>
      <c r="T33" s="3" t="s">
        <v>32</v>
      </c>
    </row>
    <row r="34" spans="1:20" s="3" customFormat="1" x14ac:dyDescent="0.25">
      <c r="A34" s="3">
        <v>0</v>
      </c>
      <c r="B34" s="3">
        <v>0</v>
      </c>
      <c r="C34" s="3">
        <v>44</v>
      </c>
      <c r="D34" s="3">
        <v>8</v>
      </c>
      <c r="E34" s="3">
        <v>47</v>
      </c>
      <c r="J34" s="3">
        <f t="shared" si="1"/>
        <v>99</v>
      </c>
      <c r="T34" s="3" t="s">
        <v>33</v>
      </c>
    </row>
    <row r="35" spans="1:20" s="3" customFormat="1" x14ac:dyDescent="0.25">
      <c r="A35" s="3" t="s">
        <v>41</v>
      </c>
      <c r="B35" s="3" t="s">
        <v>70</v>
      </c>
      <c r="C35" s="3">
        <v>18</v>
      </c>
      <c r="D35" s="3">
        <v>60</v>
      </c>
      <c r="J35" s="3">
        <f t="shared" si="1"/>
        <v>78</v>
      </c>
      <c r="K35" s="4" t="s">
        <v>47</v>
      </c>
      <c r="L35" s="3" t="s">
        <v>48</v>
      </c>
      <c r="T35" s="3" t="s">
        <v>34</v>
      </c>
    </row>
    <row r="36" spans="1:20" s="3" customFormat="1" x14ac:dyDescent="0.25">
      <c r="A36" s="3">
        <v>0</v>
      </c>
      <c r="B36" s="3">
        <v>16</v>
      </c>
      <c r="C36" s="3">
        <v>42</v>
      </c>
      <c r="D36" s="3">
        <v>38</v>
      </c>
      <c r="E36" s="3">
        <v>2</v>
      </c>
      <c r="J36" s="3">
        <f t="shared" si="1"/>
        <v>98</v>
      </c>
      <c r="K36" s="4" t="s">
        <v>47</v>
      </c>
      <c r="T36" s="3" t="s">
        <v>35</v>
      </c>
    </row>
  </sheetData>
  <mergeCells count="1">
    <mergeCell ref="K26:K28"/>
  </mergeCells>
  <hyperlinks>
    <hyperlink ref="K1" r:id="rId1"/>
    <hyperlink ref="K2" r:id="rId2"/>
    <hyperlink ref="M2" r:id="rId3"/>
    <hyperlink ref="K3" r:id="rId4"/>
    <hyperlink ref="K35" r:id="rId5"/>
    <hyperlink ref="K36" r:id="rId6"/>
    <hyperlink ref="L26" r:id="rId7"/>
    <hyperlink ref="K20" r:id="rId8"/>
    <hyperlink ref="K4" r:id="rId9"/>
    <hyperlink ref="K29" r:id="rId10"/>
    <hyperlink ref="M29" r:id="rId11"/>
    <hyperlink ref="K12" r:id="rId12"/>
    <hyperlink ref="O12" r:id="rId13"/>
    <hyperlink ref="P12" r:id="rId14"/>
    <hyperlink ref="Q12" r:id="rId15"/>
    <hyperlink ref="R12" r:id="rId16"/>
  </hyperlinks>
  <pageMargins left="0.7" right="0.7" top="0.75" bottom="0.75" header="0.3" footer="0.3"/>
  <pageSetup paperSize="9" orientation="portrait" verticalDpi="0" r:id="rId17"/>
  <drawing r:id="rId18"/>
  <legacyDrawing r:id="rId1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0" name="Button 1">
              <controlPr defaultSize="0" print="0" autoFill="0" autoPict="0" macro="[0]!RandomCellInHColumn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17</xdr:col>
                    <xdr:colOff>76200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"/>
  <sheetViews>
    <sheetView workbookViewId="0">
      <selection activeCell="F16" sqref="F16"/>
    </sheetView>
  </sheetViews>
  <sheetFormatPr defaultRowHeight="15" x14ac:dyDescent="0.25"/>
  <sheetData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Правила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Igor</cp:lastModifiedBy>
  <dcterms:created xsi:type="dcterms:W3CDTF">2018-11-05T14:11:59Z</dcterms:created>
  <dcterms:modified xsi:type="dcterms:W3CDTF">2019-01-02T03:18:05Z</dcterms:modified>
</cp:coreProperties>
</file>