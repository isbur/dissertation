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3960" yWindow="15" windowWidth="16095" windowHeight="9660"/>
  </bookViews>
  <sheets>
    <sheet name="Sheet1" sheetId="1" r:id="rId1"/>
    <sheet name="Правила" sheetId="2" r:id="rId2"/>
  </sheets>
  <calcPr calcId="162913"/>
</workbook>
</file>

<file path=xl/calcChain.xml><?xml version="1.0" encoding="utf-8"?>
<calcChain xmlns="http://schemas.openxmlformats.org/spreadsheetml/2006/main">
  <c r="J11" i="1" l="1"/>
  <c r="J29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 l="1"/>
  <c r="J36" i="1"/>
  <c r="J35" i="1"/>
  <c r="J34" i="1"/>
  <c r="J33" i="1"/>
  <c r="J32" i="1"/>
  <c r="J31" i="1"/>
  <c r="J30" i="1"/>
  <c r="J12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<sst xmlns="http://schemas.openxmlformats.org/spreadsheetml/2006/main" count="76" uniqueCount="72">
  <si>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</si>
  <si>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</si>
  <si>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</si>
  <si>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</si>
  <si>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</si>
  <si>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</si>
  <si>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</si>
  <si>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</si>
  <si>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</si>
  <si>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</si>
  <si>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</si>
  <si>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</si>
  <si>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</si>
  <si>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</si>
  <si>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</si>
  <si>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</si>
  <si>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</si>
  <si>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</si>
  <si>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</si>
  <si>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</si>
  <si>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</si>
  <si>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</si>
  <si>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</si>
  <si>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</si>
  <si>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</si>
  <si>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</si>
  <si>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</si>
  <si>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</si>
  <si>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</si>
  <si>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</si>
  <si>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</si>
  <si>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</si>
  <si>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</si>
  <si>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</si>
  <si>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</si>
  <si>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</si>
  <si>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http://www.kavkazoved.info/news/2015/04/20/armjane-v-rossii-problemy-i-budni.html</t>
  </si>
  <si>
    <t>На основе анализа ежемесячных данных пассажиропотока Микаэлян отмечает, что увеличились и масштабы сезонной миграции из Армении в Россию, а также сроки нахождения сезонных мигрантов в РФ – если ранее это было в среднем до 60 000 человек в год и полгода, то после 2010 года количество увеличилось до 80 000 и 9 месяцев. «Во многих случаях  после нескольких лет сезонных работ, трудовой мигрант закрепляется в России и начинает предпринимать усилия по перевозке уже собственной семьи в Россию, а в сезонную миграцию вовлекаются уже новые люди. Как правило, период предварительной адаптации занимает около 5 лет», – добавил он. </t>
  </si>
  <si>
    <t>http://www.carim-east.eu/media/CARIM-East-RR-2013-07_RU.pdf</t>
  </si>
  <si>
    <t>Очень много интересных данных. А я ещё не хотелось бы светиться с этой диссертацией перед специалистами...</t>
  </si>
  <si>
    <t>http://www.yerkramas.org/article/18066/chem-zanimayutsya-armyane-za-predelami-armenii</t>
  </si>
  <si>
    <t>f:</t>
  </si>
  <si>
    <t>-(1/(x-30))</t>
  </si>
  <si>
    <t>https://www.currenttime.tv/a/28300118.html</t>
  </si>
  <si>
    <t>То есть много сезонных</t>
  </si>
  <si>
    <t>"Преобладают чернорабочие"</t>
  </si>
  <si>
    <t>А ля 36 - ВО, 56 - среднее, ост - специальное?</t>
  </si>
  <si>
    <t>А ещё есть специфика Москвы!</t>
  </si>
  <si>
    <t>2+sin(x)</t>
  </si>
  <si>
    <t>http://noev-kovcheg.ru/mag/2006-14/365.html</t>
  </si>
  <si>
    <t>+соображение, что, кажется, ситуация особо не поменялась с тех пор</t>
  </si>
  <si>
    <t>см. таблицу 18</t>
  </si>
  <si>
    <t>https://inosmi.ru/politic/20151207/234707770.html - мнение: фактически диаспоры никакой особо нет, есть только отдельные богатенькие личности, играющие в эту диаспору.</t>
  </si>
  <si>
    <t>http://www.demoscope.ru/weekly/2011/0467/analit04.php</t>
  </si>
  <si>
    <t>КРУТЬ-исследование. В т.ч. Про жильё</t>
  </si>
  <si>
    <t xml:space="preserve">http://www.demoscope.ru/weekly/2011/0467/analit04.php </t>
  </si>
  <si>
    <t>и ещё 0,33 - в собственных квартирах, но это уже граждане</t>
  </si>
  <si>
    <t xml:space="preserve"> C и E - символический добавок от Бульки для успокоения совести</t>
  </si>
  <si>
    <t>Как я понимаю, капитальных проблем из разряда "вовсе негде жить" не возникает обычно. В исследовании сказано, что 7% недовольны жилищными условиями - вот они могли бы отметить что-то про "проблемы" (всем бы их проблемы!)</t>
  </si>
  <si>
    <t>Те, кто чаще всего обращается к знакомым, должны обращаться к ним чаще всего по любому поводу</t>
  </si>
  <si>
    <t>Ситуация чем-то похожа на 14 вопрос. Агенства занятости считаем государственными, ыыы.... А их, между прочим, до 10%. 37% справлялись как-то сами (у нас это будут газеты и интернет)</t>
  </si>
  <si>
    <t xml:space="preserve">https://rg.ru/2018/02/13/opros-kak-rossiiane-chashche-ishchut-rabotu.html </t>
  </si>
  <si>
    <t>Это данные по россиянам. 29 % пользуются сайтами, газеты - 12 %. Учтём, что мигранты обычно молодые... И тогда пусть будут те же 29 и, скажем, 7</t>
  </si>
  <si>
    <t xml:space="preserve">Исследование по взяткам среди россиян. </t>
  </si>
  <si>
    <t xml:space="preserve">https://www.rbc.ru/newspaper/2016/03/25/56f271cd9a7947f9c25d740b </t>
  </si>
  <si>
    <t>Всё-таки 0,2 - это речь идёт о взяткодавателях. Мало кто назовёт "проблемой" взятку, инициированную со своей стороны, как мне кажется, а вот про вымогательство пожаловаться - всегда пожалуйста. Но процент вымогательств... Самому считать, что ли? Как?</t>
  </si>
  <si>
    <t>При этом проблемы возникли именно с определением уровня недовольства среди россиян, с тем, что этот уровень будет римерно раавен уровню среди мигрантов, сомнений нет</t>
  </si>
  <si>
    <t xml:space="preserve">https://iz.ru/716072/nataliia-berishvili/rossiiane-otcenili-uroven-korruptcii-v-uchrezhdeniiakh-strany </t>
  </si>
  <si>
    <t xml:space="preserve">https://regnum.ru/news/1349508.html </t>
  </si>
  <si>
    <t xml:space="preserve">http://crimestat.ru/offenses_chart </t>
  </si>
  <si>
    <t xml:space="preserve">https://www.occrp.org/ru/daily/7444-2018-01-04-07-32-10 </t>
  </si>
  <si>
    <t>Всё-таки, есть мнение, что трудовые мигранты более добропорядочные и им более стрёмно, поэтому следует, всё же, понизить этот процент. А вообще... Зинака!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</si>
</sst>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1" fillId="0" borderId="0" xfId="1" applyAlignment="1" applyProtection="1"/>
    <xf numFmtId="0" fontId="0" fillId="2" borderId="0" xfId="0" applyFill="1"/>
    <xf numFmtId="0" fontId="1" fillId="2" borderId="0" xfId="1" applyFill="1" applyAlignment="1" applyProtection="1"/>
    <xf numFmtId="0" fontId="0" fillId="0" borderId="0" xfId="0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0</xdr:colOff>
      <xdr:row>25</xdr:row>
      <xdr:rowOff>0</xdr:rowOff>
    </xdr:from>
    <xdr:to>
      <xdr:col>31</xdr:col>
      <xdr:colOff>208838</xdr:colOff>
      <xdr:row>43</xdr:row>
      <xdr:rowOff>190048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1200" y="4762500"/>
          <a:ext cx="5695238" cy="36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emoscope.ru/weekly/2011/0467/analit04.php" TargetMode="External"/><Relationship Id="rId13" Type="http://schemas.openxmlformats.org/officeDocument/2006/relationships/hyperlink" Target="https://iz.ru/716072/nataliia-berishvili/rossiiane-otcenili-uroven-korruptcii-v-uchrezhdeniiakh-strany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http://www.yerkramas.org/article/18066/chem-zanimayutsya-armyane-za-predelami-armenii" TargetMode="External"/><Relationship Id="rId7" Type="http://schemas.openxmlformats.org/officeDocument/2006/relationships/hyperlink" Target="https://inosmi.ru/politic/20151207/234707770.html%20-%20&#1084;&#1085;&#1077;&#1085;&#1080;&#1077;:%20&#1092;&#1072;&#1082;&#1090;&#1080;&#1095;&#1077;&#1089;&#1082;&#1080;%20&#1076;&#1080;&#1072;&#1089;&#1087;&#1086;&#1088;&#1099;%20&#1085;&#1080;&#1082;&#1072;&#1082;&#1086;&#1081;%20&#1086;&#1089;&#1086;&#1073;&#1086;%20&#1085;&#1077;&#1090;,%20&#1077;&#1089;&#1090;&#1100;%20&#1090;&#1086;&#1083;&#1100;&#1082;&#1086;%20&#1086;&#1090;&#1076;&#1077;&#1083;&#1100;&#1085;&#1099;&#1077;%20&#1073;&#1086;&#1075;&#1072;&#1090;&#1077;&#1085;&#1100;&#1082;&#1080;&#1077;%20&#1083;&#1080;&#1095;&#1085;&#1086;&#1089;&#1090;&#1080;,%20&#1080;&#1075;&#1088;&#1072;&#1102;&#1097;&#1080;&#1077;%20&#1074;%20&#1101;&#1090;&#1091;%20&#1076;&#1080;&#1072;&#1089;&#1087;&#1086;&#1088;&#1091;." TargetMode="External"/><Relationship Id="rId12" Type="http://schemas.openxmlformats.org/officeDocument/2006/relationships/hyperlink" Target="https://www.rbc.ru/newspaper/2016/03/25/56f271cd9a7947f9c25d740b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://www.carim-east.eu/media/CARIM-East-RR-2013-07_RU.pdf" TargetMode="External"/><Relationship Id="rId16" Type="http://schemas.openxmlformats.org/officeDocument/2006/relationships/hyperlink" Target="https://www.occrp.org/ru/daily/7444-2018-01-04-07-32-10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http://www.kavkazoved.info/news/2015/04/20/armjane-v-rossii-problemy-i-budni.html" TargetMode="External"/><Relationship Id="rId6" Type="http://schemas.openxmlformats.org/officeDocument/2006/relationships/hyperlink" Target="http://noev-kovcheg.ru/mag/2006-14/365.html" TargetMode="External"/><Relationship Id="rId11" Type="http://schemas.openxmlformats.org/officeDocument/2006/relationships/hyperlink" Target="https://rg.ru/2018/02/13/opros-kak-rossiiane-chashche-ishchut-rabotu.html" TargetMode="External"/><Relationship Id="rId5" Type="http://schemas.openxmlformats.org/officeDocument/2006/relationships/hyperlink" Target="http://noev-kovcheg.ru/mag/2006-14/365.html" TargetMode="External"/><Relationship Id="rId15" Type="http://schemas.openxmlformats.org/officeDocument/2006/relationships/hyperlink" Target="http://crimestat.ru/offenses_chart" TargetMode="External"/><Relationship Id="rId10" Type="http://schemas.openxmlformats.org/officeDocument/2006/relationships/hyperlink" Target="http://www.demoscope.ru/weekly/2011/0467/analit04.php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https://www.currenttime.tv/a/28300118.html" TargetMode="External"/><Relationship Id="rId9" Type="http://schemas.openxmlformats.org/officeDocument/2006/relationships/hyperlink" Target="http://www.demoscope.ru/weekly/2011/0467/analit04.php" TargetMode="External"/><Relationship Id="rId14" Type="http://schemas.openxmlformats.org/officeDocument/2006/relationships/hyperlink" Target="https://regnum.ru/news/1349508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topLeftCell="A17" workbookViewId="0">
      <selection activeCell="A37" sqref="A37:XFD1048576"/>
    </sheetView>
  </sheetViews>
  <sheetFormatPr defaultRowHeight="15" x14ac:dyDescent="0.25"/>
  <sheetData>
    <row r="1" spans="1:20" x14ac:dyDescent="0.25">
      <c r="A1">
        <v>0</v>
      </c>
      <c r="B1">
        <v>1</v>
      </c>
      <c r="C1">
        <v>0</v>
      </c>
      <c r="J1">
        <f t="shared" ref="J1:J27" si="0">SUM(A1:H1)</f>
        <v>1</v>
      </c>
      <c r="K1" s="1" t="s">
        <v>36</v>
      </c>
      <c r="L1" t="s">
        <v>37</v>
      </c>
      <c r="T1" t="s">
        <v>0</v>
      </c>
    </row>
    <row r="2" spans="1:20" x14ac:dyDescent="0.25">
      <c r="A2">
        <v>0</v>
      </c>
      <c r="B2">
        <v>1</v>
      </c>
      <c r="C2">
        <v>0</v>
      </c>
      <c r="J2">
        <f t="shared" si="0"/>
        <v>1</v>
      </c>
      <c r="K2" s="1" t="s">
        <v>38</v>
      </c>
      <c r="L2" t="s">
        <v>39</v>
      </c>
      <c r="M2" s="1" t="s">
        <v>40</v>
      </c>
      <c r="T2" t="s">
        <v>1</v>
      </c>
    </row>
    <row r="3" spans="1:20" x14ac:dyDescent="0.25">
      <c r="A3">
        <v>0</v>
      </c>
      <c r="B3">
        <v>0</v>
      </c>
      <c r="C3" t="s">
        <v>41</v>
      </c>
      <c r="D3" t="s">
        <v>42</v>
      </c>
      <c r="E3">
        <v>10</v>
      </c>
      <c r="F3">
        <v>25</v>
      </c>
      <c r="J3">
        <f t="shared" si="0"/>
        <v>35</v>
      </c>
      <c r="K3" s="1" t="s">
        <v>43</v>
      </c>
      <c r="L3" t="s">
        <v>44</v>
      </c>
      <c r="M3" t="s">
        <v>45</v>
      </c>
      <c r="N3" t="s">
        <v>46</v>
      </c>
      <c r="O3" t="s">
        <v>47</v>
      </c>
      <c r="T3" t="s">
        <v>2</v>
      </c>
    </row>
    <row r="4" spans="1:20" x14ac:dyDescent="0.25">
      <c r="A4">
        <v>0.44</v>
      </c>
      <c r="B4">
        <v>0.09</v>
      </c>
      <c r="C4">
        <v>0.04</v>
      </c>
      <c r="D4">
        <v>0.16</v>
      </c>
      <c r="E4">
        <v>0</v>
      </c>
      <c r="I4">
        <v>0.95</v>
      </c>
      <c r="J4">
        <f t="shared" si="0"/>
        <v>0.73000000000000009</v>
      </c>
      <c r="K4" s="1" t="s">
        <v>55</v>
      </c>
      <c r="L4" t="s">
        <v>56</v>
      </c>
      <c r="M4" t="s">
        <v>57</v>
      </c>
      <c r="T4" t="s">
        <v>3</v>
      </c>
    </row>
    <row r="5" spans="1:20" x14ac:dyDescent="0.25">
      <c r="A5">
        <v>0</v>
      </c>
      <c r="B5">
        <v>1</v>
      </c>
      <c r="C5">
        <v>0</v>
      </c>
      <c r="D5">
        <v>0</v>
      </c>
      <c r="E5">
        <v>0</v>
      </c>
      <c r="J5">
        <f t="shared" si="0"/>
        <v>1</v>
      </c>
      <c r="T5" t="s">
        <v>4</v>
      </c>
    </row>
    <row r="6" spans="1:20" x14ac:dyDescent="0.25">
      <c r="A6">
        <v>0</v>
      </c>
      <c r="B6">
        <v>0</v>
      </c>
      <c r="C6">
        <v>0</v>
      </c>
      <c r="D6">
        <v>1</v>
      </c>
      <c r="J6">
        <f t="shared" si="0"/>
        <v>1</v>
      </c>
      <c r="T6" t="s">
        <v>5</v>
      </c>
    </row>
    <row r="7" spans="1:20" x14ac:dyDescent="0.25">
      <c r="A7">
        <v>0</v>
      </c>
      <c r="B7">
        <v>0</v>
      </c>
      <c r="C7">
        <v>0</v>
      </c>
      <c r="D7">
        <v>1</v>
      </c>
      <c r="J7">
        <f t="shared" si="0"/>
        <v>1</v>
      </c>
      <c r="T7" t="s">
        <v>6</v>
      </c>
    </row>
    <row r="8" spans="1:20" x14ac:dyDescent="0.25">
      <c r="A8">
        <v>0</v>
      </c>
      <c r="B8">
        <v>0</v>
      </c>
      <c r="C8">
        <v>0</v>
      </c>
      <c r="D8">
        <v>0</v>
      </c>
      <c r="E8">
        <v>1</v>
      </c>
      <c r="J8">
        <f t="shared" si="0"/>
        <v>1</v>
      </c>
      <c r="T8" t="s">
        <v>7</v>
      </c>
    </row>
    <row r="9" spans="1:20" x14ac:dyDescent="0.25">
      <c r="A9">
        <v>0.9</v>
      </c>
      <c r="B9">
        <v>0.1</v>
      </c>
      <c r="C9">
        <v>0</v>
      </c>
      <c r="D9">
        <v>0</v>
      </c>
      <c r="J9">
        <f t="shared" si="0"/>
        <v>1</v>
      </c>
      <c r="T9" t="s">
        <v>8</v>
      </c>
    </row>
    <row r="10" spans="1:20" x14ac:dyDescent="0.25">
      <c r="A10">
        <v>0.1</v>
      </c>
      <c r="B10">
        <v>0.2</v>
      </c>
      <c r="C10">
        <v>0.4</v>
      </c>
      <c r="D10">
        <v>0.1</v>
      </c>
      <c r="E10">
        <v>0.05</v>
      </c>
      <c r="J10">
        <f t="shared" si="0"/>
        <v>0.85000000000000009</v>
      </c>
      <c r="T10" t="s">
        <v>9</v>
      </c>
    </row>
    <row r="11" spans="1:20" x14ac:dyDescent="0.25">
      <c r="A11">
        <v>0</v>
      </c>
      <c r="B11">
        <v>1</v>
      </c>
      <c r="J11">
        <f t="shared" si="0"/>
        <v>1</v>
      </c>
      <c r="T11" t="s">
        <v>10</v>
      </c>
    </row>
    <row r="12" spans="1:20" x14ac:dyDescent="0.25">
      <c r="A12">
        <v>0.05</v>
      </c>
      <c r="B12">
        <v>0.95</v>
      </c>
      <c r="I12">
        <v>0.8</v>
      </c>
      <c r="J12">
        <f t="shared" si="0"/>
        <v>1</v>
      </c>
      <c r="K12" s="1" t="s">
        <v>64</v>
      </c>
      <c r="L12" t="s">
        <v>63</v>
      </c>
      <c r="M12" t="s">
        <v>65</v>
      </c>
      <c r="N12" t="s">
        <v>66</v>
      </c>
      <c r="O12" s="1" t="s">
        <v>67</v>
      </c>
      <c r="P12" s="1" t="s">
        <v>68</v>
      </c>
      <c r="Q12" s="1" t="s">
        <v>69</v>
      </c>
      <c r="R12" s="1" t="s">
        <v>70</v>
      </c>
      <c r="S12" t="s">
        <v>71</v>
      </c>
      <c r="T12" t="s">
        <v>11</v>
      </c>
    </row>
    <row r="13" spans="1:20" x14ac:dyDescent="0.25">
      <c r="A13">
        <v>0</v>
      </c>
      <c r="B13">
        <v>1</v>
      </c>
      <c r="J13">
        <f t="shared" si="0"/>
        <v>1</v>
      </c>
      <c r="T13" t="s">
        <v>12</v>
      </c>
    </row>
    <row r="14" spans="1:20" x14ac:dyDescent="0.25">
      <c r="A14">
        <v>0</v>
      </c>
      <c r="B14">
        <v>1</v>
      </c>
      <c r="J14">
        <f t="shared" si="0"/>
        <v>1</v>
      </c>
      <c r="T14" t="s">
        <v>13</v>
      </c>
    </row>
    <row r="15" spans="1:20" x14ac:dyDescent="0.25">
      <c r="A15">
        <v>0</v>
      </c>
      <c r="B15">
        <v>1</v>
      </c>
      <c r="J15">
        <f t="shared" si="0"/>
        <v>1</v>
      </c>
      <c r="T15" t="s">
        <v>14</v>
      </c>
    </row>
    <row r="16" spans="1:20" x14ac:dyDescent="0.25">
      <c r="A16">
        <v>0</v>
      </c>
      <c r="B16">
        <v>1</v>
      </c>
      <c r="J16">
        <f t="shared" si="0"/>
        <v>1</v>
      </c>
      <c r="T16" t="s">
        <v>15</v>
      </c>
    </row>
    <row r="17" spans="1:20" x14ac:dyDescent="0.25">
      <c r="A17">
        <v>0</v>
      </c>
      <c r="B17">
        <v>1</v>
      </c>
      <c r="J17">
        <f t="shared" si="0"/>
        <v>1</v>
      </c>
      <c r="T17" t="s">
        <v>16</v>
      </c>
    </row>
    <row r="18" spans="1:20" x14ac:dyDescent="0.25">
      <c r="A18">
        <v>0</v>
      </c>
      <c r="B18">
        <v>1</v>
      </c>
      <c r="J18">
        <f t="shared" si="0"/>
        <v>1</v>
      </c>
      <c r="T18" t="s">
        <v>17</v>
      </c>
    </row>
    <row r="19" spans="1:20" x14ac:dyDescent="0.25">
      <c r="A19">
        <v>0</v>
      </c>
      <c r="B19">
        <v>1</v>
      </c>
      <c r="J19">
        <f t="shared" si="0"/>
        <v>1</v>
      </c>
      <c r="T19" t="s">
        <v>18</v>
      </c>
    </row>
    <row r="20" spans="1:20" s="2" customFormat="1" x14ac:dyDescent="0.25">
      <c r="A20" s="2">
        <v>0.01</v>
      </c>
      <c r="B20" s="2">
        <v>0.99</v>
      </c>
      <c r="I20" s="2">
        <v>0.95</v>
      </c>
      <c r="J20">
        <f t="shared" si="0"/>
        <v>1</v>
      </c>
      <c r="K20" s="3" t="s">
        <v>53</v>
      </c>
      <c r="L20" s="2" t="s">
        <v>54</v>
      </c>
      <c r="M20" s="2" t="s">
        <v>58</v>
      </c>
      <c r="T20" s="2" t="s">
        <v>19</v>
      </c>
    </row>
    <row r="21" spans="1:20" x14ac:dyDescent="0.25">
      <c r="A21">
        <v>0</v>
      </c>
      <c r="B21">
        <v>1</v>
      </c>
      <c r="J21">
        <f t="shared" si="0"/>
        <v>1</v>
      </c>
      <c r="T21" t="s">
        <v>20</v>
      </c>
    </row>
    <row r="22" spans="1:20" x14ac:dyDescent="0.25">
      <c r="A22">
        <v>0</v>
      </c>
      <c r="B22">
        <v>1</v>
      </c>
      <c r="J22">
        <f t="shared" si="0"/>
        <v>1</v>
      </c>
      <c r="T22" t="s">
        <v>21</v>
      </c>
    </row>
    <row r="23" spans="1:20" x14ac:dyDescent="0.25">
      <c r="A23">
        <v>0</v>
      </c>
      <c r="B23">
        <v>1</v>
      </c>
      <c r="J23">
        <f t="shared" si="0"/>
        <v>1</v>
      </c>
      <c r="T23" t="s">
        <v>22</v>
      </c>
    </row>
    <row r="24" spans="1:20" x14ac:dyDescent="0.25">
      <c r="A24">
        <v>0</v>
      </c>
      <c r="B24">
        <v>1</v>
      </c>
      <c r="J24">
        <f t="shared" si="0"/>
        <v>1</v>
      </c>
      <c r="T24" t="s">
        <v>23</v>
      </c>
    </row>
    <row r="25" spans="1:20" x14ac:dyDescent="0.25">
      <c r="A25">
        <v>0</v>
      </c>
      <c r="B25">
        <v>1</v>
      </c>
      <c r="J25">
        <f t="shared" si="0"/>
        <v>1</v>
      </c>
      <c r="T25" t="s">
        <v>24</v>
      </c>
    </row>
    <row r="26" spans="1:20" x14ac:dyDescent="0.25">
      <c r="A26">
        <v>0.79</v>
      </c>
      <c r="B26">
        <v>0.21</v>
      </c>
      <c r="I26">
        <v>0.8</v>
      </c>
      <c r="J26">
        <f t="shared" si="0"/>
        <v>1</v>
      </c>
      <c r="K26" s="4" t="s">
        <v>51</v>
      </c>
      <c r="L26" s="1" t="s">
        <v>52</v>
      </c>
      <c r="T26" t="s">
        <v>25</v>
      </c>
    </row>
    <row r="27" spans="1:20" x14ac:dyDescent="0.25">
      <c r="A27">
        <v>0.02</v>
      </c>
      <c r="B27">
        <v>0.98</v>
      </c>
      <c r="I27">
        <v>0.8</v>
      </c>
      <c r="J27">
        <f t="shared" si="0"/>
        <v>1</v>
      </c>
      <c r="K27" s="4"/>
      <c r="T27" t="s">
        <v>26</v>
      </c>
    </row>
    <row r="28" spans="1:20" x14ac:dyDescent="0.25">
      <c r="A28">
        <v>52</v>
      </c>
      <c r="B28">
        <v>4</v>
      </c>
      <c r="C28">
        <v>3</v>
      </c>
      <c r="D28">
        <v>4</v>
      </c>
      <c r="E28">
        <v>12</v>
      </c>
      <c r="F28">
        <v>5</v>
      </c>
      <c r="G28">
        <v>1</v>
      </c>
      <c r="I28">
        <v>0.99</v>
      </c>
      <c r="J28">
        <f>SUM(A28:I28)</f>
        <v>81.99</v>
      </c>
      <c r="K28" s="4"/>
      <c r="L28" t="s">
        <v>53</v>
      </c>
      <c r="T28" t="s">
        <v>27</v>
      </c>
    </row>
    <row r="29" spans="1:20" x14ac:dyDescent="0.25">
      <c r="A29">
        <v>0.28999999999999998</v>
      </c>
      <c r="B29">
        <v>7.0000000000000007E-2</v>
      </c>
      <c r="C29">
        <v>0.49</v>
      </c>
      <c r="D29">
        <v>9.0999999999999998E-2</v>
      </c>
      <c r="E29">
        <v>0</v>
      </c>
      <c r="F29">
        <v>0</v>
      </c>
      <c r="I29">
        <v>0.96</v>
      </c>
      <c r="J29">
        <f>SUM(A29:I29)</f>
        <v>1.9009999999999998</v>
      </c>
      <c r="K29" s="1" t="s">
        <v>55</v>
      </c>
      <c r="L29" t="s">
        <v>60</v>
      </c>
      <c r="M29" s="1" t="s">
        <v>61</v>
      </c>
      <c r="N29" t="s">
        <v>62</v>
      </c>
      <c r="T29" t="s">
        <v>28</v>
      </c>
    </row>
    <row r="30" spans="1:20" x14ac:dyDescent="0.25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 t="shared" ref="J30:J36" si="1">SUM(A30:H30)</f>
        <v>1</v>
      </c>
      <c r="T30" t="s">
        <v>29</v>
      </c>
    </row>
    <row r="31" spans="1:20" x14ac:dyDescent="0.25">
      <c r="A31">
        <v>1</v>
      </c>
      <c r="B31">
        <v>0</v>
      </c>
      <c r="J31">
        <f t="shared" si="1"/>
        <v>1</v>
      </c>
      <c r="T31" t="s">
        <v>30</v>
      </c>
    </row>
    <row r="32" spans="1:20" x14ac:dyDescent="0.25">
      <c r="A32">
        <v>0</v>
      </c>
      <c r="B32">
        <v>0</v>
      </c>
      <c r="C32">
        <v>0</v>
      </c>
      <c r="D32">
        <v>0</v>
      </c>
      <c r="E32">
        <v>1</v>
      </c>
      <c r="J32">
        <f t="shared" si="1"/>
        <v>1</v>
      </c>
      <c r="T32" t="s">
        <v>31</v>
      </c>
    </row>
    <row r="33" spans="1:20" x14ac:dyDescent="0.25">
      <c r="A33">
        <v>0</v>
      </c>
      <c r="B33">
        <v>0</v>
      </c>
      <c r="C33">
        <v>0</v>
      </c>
      <c r="D33">
        <v>0</v>
      </c>
      <c r="E33">
        <v>1</v>
      </c>
      <c r="J33">
        <f t="shared" si="1"/>
        <v>1</v>
      </c>
      <c r="T33" t="s">
        <v>32</v>
      </c>
    </row>
    <row r="34" spans="1:20" x14ac:dyDescent="0.25">
      <c r="A34">
        <v>0</v>
      </c>
      <c r="B34">
        <v>0</v>
      </c>
      <c r="C34">
        <v>0</v>
      </c>
      <c r="D34">
        <v>0</v>
      </c>
      <c r="E34">
        <v>1</v>
      </c>
      <c r="J34">
        <f t="shared" si="1"/>
        <v>1</v>
      </c>
      <c r="T34" t="s">
        <v>33</v>
      </c>
    </row>
    <row r="35" spans="1:20" x14ac:dyDescent="0.25">
      <c r="A35" t="s">
        <v>41</v>
      </c>
      <c r="B35" t="s">
        <v>48</v>
      </c>
      <c r="C35">
        <v>18</v>
      </c>
      <c r="D35">
        <v>37</v>
      </c>
      <c r="J35">
        <f t="shared" si="1"/>
        <v>55</v>
      </c>
      <c r="K35" s="1" t="s">
        <v>49</v>
      </c>
      <c r="L35" t="s">
        <v>50</v>
      </c>
      <c r="T35" t="s">
        <v>34</v>
      </c>
    </row>
    <row r="36" spans="1:20" x14ac:dyDescent="0.25">
      <c r="A36">
        <v>0</v>
      </c>
      <c r="B36">
        <v>56</v>
      </c>
      <c r="C36">
        <v>10</v>
      </c>
      <c r="D36">
        <v>36</v>
      </c>
      <c r="E36">
        <v>3</v>
      </c>
      <c r="J36">
        <f t="shared" si="1"/>
        <v>105</v>
      </c>
      <c r="K36" s="1" t="s">
        <v>49</v>
      </c>
      <c r="T36" t="s">
        <v>35</v>
      </c>
    </row>
  </sheetData>
  <mergeCells count="1">
    <mergeCell ref="K26:K28"/>
  </mergeCells>
  <hyperlinks>
    <hyperlink ref="K1" r:id="rId1"/>
    <hyperlink ref="K2" r:id="rId2"/>
    <hyperlink ref="M2" r:id="rId3"/>
    <hyperlink ref="K3" r:id="rId4"/>
    <hyperlink ref="K35" r:id="rId5"/>
    <hyperlink ref="K36" r:id="rId6"/>
    <hyperlink ref="L26" r:id="rId7"/>
    <hyperlink ref="K20" r:id="rId8"/>
    <hyperlink ref="K4" r:id="rId9"/>
    <hyperlink ref="K29" r:id="rId10"/>
    <hyperlink ref="M29" r:id="rId11"/>
    <hyperlink ref="K12" r:id="rId12"/>
    <hyperlink ref="O12" r:id="rId13"/>
    <hyperlink ref="P12" r:id="rId14"/>
    <hyperlink ref="Q12" r:id="rId15"/>
    <hyperlink ref="R12" r:id="rId16"/>
  </hyperlinks>
  <pageMargins left="0.7" right="0.7" top="0.75" bottom="0.75" header="0.3" footer="0.3"/>
  <pageSetup paperSize="9" orientation="portrait" verticalDpi="0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"/>
  <sheetViews>
    <sheetView workbookViewId="0">
      <selection activeCell="F16" sqref="F16"/>
    </sheetView>
  </sheetViews>
  <sheetFormatPr defaultRowHeight="15" x14ac:dyDescent="0.25"/>
  <sheetData>
    <row r="4" spans="1:1" x14ac:dyDescent="0.25">
      <c r="A4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Правила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2018-11-18T04:34:10Z</dcterms:modified>
</cp:coreProperties>
</file>